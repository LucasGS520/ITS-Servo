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TS-Servo\"/>
    </mc:Choice>
  </mc:AlternateContent>
  <xr:revisionPtr revIDLastSave="0" documentId="8_{8A4DE610-A374-4980-A7E9-D7D6F70CA072}" xr6:coauthVersionLast="47" xr6:coauthVersionMax="47" xr10:uidLastSave="{00000000-0000-0000-0000-000000000000}"/>
  <bookViews>
    <workbookView xWindow="735" yWindow="735" windowWidth="21600" windowHeight="11295" xr2:uid="{8E6DCB66-811E-498F-AE9B-E92E22365B51}"/>
  </bookViews>
  <sheets>
    <sheet name="RELATÓRIO GERAL" sheetId="1" r:id="rId1"/>
    <sheet name="ENGENHO NOVO" sheetId="2" r:id="rId2"/>
    <sheet name="ARISTON" sheetId="6" r:id="rId3"/>
    <sheet name="SEDE" sheetId="3" r:id="rId4"/>
    <sheet name="OSASCO" sheetId="4" r:id="rId5"/>
    <sheet name="CORRESPONDÊNCI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4" l="1"/>
  <c r="F19" i="4" s="1"/>
  <c r="G17" i="2"/>
  <c r="G19" i="2" s="1"/>
  <c r="M20" i="2" s="1"/>
  <c r="F17" i="2"/>
  <c r="E16" i="5"/>
  <c r="D16" i="5"/>
  <c r="D18" i="5" s="1"/>
  <c r="E17" i="2"/>
  <c r="E19" i="2" s="1"/>
  <c r="D22" i="6"/>
  <c r="D17" i="2"/>
  <c r="D19" i="2" s="1"/>
  <c r="C21" i="1"/>
  <c r="M17" i="3"/>
  <c r="B17" i="4"/>
  <c r="C17" i="4"/>
  <c r="M17" i="2"/>
  <c r="L17" i="2"/>
  <c r="K17" i="2"/>
  <c r="K19" i="2" s="1"/>
  <c r="J17" i="2"/>
  <c r="I17" i="2"/>
  <c r="I19" i="2" s="1"/>
  <c r="H17" i="2"/>
  <c r="F19" i="2"/>
  <c r="C17" i="2"/>
  <c r="C19" i="2" s="1"/>
  <c r="B17" i="2"/>
  <c r="B19" i="2" s="1"/>
  <c r="C19" i="1"/>
  <c r="B19" i="1"/>
  <c r="B16" i="5"/>
  <c r="B18" i="5" s="1"/>
  <c r="B19" i="4"/>
  <c r="B21" i="1"/>
  <c r="L19" i="1"/>
  <c r="F19" i="1"/>
  <c r="F21" i="1" s="1"/>
  <c r="E19" i="1"/>
  <c r="I19" i="1"/>
  <c r="H19" i="1"/>
  <c r="H21" i="1" s="1"/>
  <c r="L19" i="2"/>
  <c r="K17" i="4"/>
  <c r="K19" i="4" s="1"/>
  <c r="L17" i="4"/>
  <c r="L19" i="4" s="1"/>
  <c r="M17" i="4"/>
  <c r="M19" i="4" s="1"/>
  <c r="J19" i="4"/>
  <c r="I17" i="4"/>
  <c r="I19" i="4" s="1"/>
  <c r="J19" i="2"/>
  <c r="M19" i="2"/>
  <c r="H19" i="2"/>
  <c r="H22" i="6"/>
  <c r="H24" i="6" s="1"/>
  <c r="I22" i="6"/>
  <c r="I24" i="6" s="1"/>
  <c r="J24" i="6"/>
  <c r="K22" i="6"/>
  <c r="K24" i="6" s="1"/>
  <c r="L22" i="6"/>
  <c r="L24" i="6" s="1"/>
  <c r="M22" i="6"/>
  <c r="M24" i="6" s="1"/>
  <c r="G22" i="6"/>
  <c r="G24" i="6" s="1"/>
  <c r="F22" i="6"/>
  <c r="F24" i="6" s="1"/>
  <c r="M25" i="6" s="1"/>
  <c r="D14" i="3"/>
  <c r="D16" i="3" s="1"/>
  <c r="E14" i="3"/>
  <c r="E16" i="3" s="1"/>
  <c r="F14" i="3"/>
  <c r="F16" i="3" s="1"/>
  <c r="G14" i="3"/>
  <c r="G16" i="3" s="1"/>
  <c r="H14" i="3"/>
  <c r="H16" i="3" s="1"/>
  <c r="I14" i="3"/>
  <c r="I16" i="3" s="1"/>
  <c r="J14" i="3"/>
  <c r="J16" i="3" s="1"/>
  <c r="K14" i="3"/>
  <c r="K16" i="3" s="1"/>
  <c r="L14" i="3"/>
  <c r="L16" i="3" s="1"/>
  <c r="M14" i="3"/>
  <c r="M16" i="3" s="1"/>
  <c r="C14" i="3"/>
  <c r="C16" i="3" s="1"/>
  <c r="C19" i="4"/>
  <c r="D17" i="4"/>
  <c r="D19" i="4" s="1"/>
  <c r="E17" i="4"/>
  <c r="E19" i="4" s="1"/>
  <c r="G17" i="4"/>
  <c r="G19" i="4" s="1"/>
  <c r="M20" i="4" s="1"/>
  <c r="H17" i="4"/>
  <c r="H19" i="4" s="1"/>
  <c r="C16" i="5"/>
  <c r="C18" i="5" s="1"/>
  <c r="E18" i="5"/>
  <c r="F16" i="5"/>
  <c r="F18" i="5" s="1"/>
  <c r="G16" i="5"/>
  <c r="G18" i="5" s="1"/>
  <c r="H16" i="5"/>
  <c r="H18" i="5" s="1"/>
  <c r="I16" i="5"/>
  <c r="I18" i="5" s="1"/>
  <c r="J16" i="5"/>
  <c r="J18" i="5" s="1"/>
  <c r="K16" i="5"/>
  <c r="K18" i="5" s="1"/>
  <c r="L16" i="5"/>
  <c r="L18" i="5" s="1"/>
  <c r="M16" i="5"/>
  <c r="M18" i="5" s="1"/>
  <c r="K22" i="1"/>
  <c r="K19" i="1"/>
  <c r="J19" i="1"/>
  <c r="J22" i="1"/>
  <c r="I22" i="1"/>
  <c r="G19" i="1"/>
  <c r="G21" i="1" s="1"/>
  <c r="M19" i="1"/>
  <c r="C22" i="1"/>
  <c r="D22" i="1"/>
  <c r="E22" i="1"/>
  <c r="F22" i="1"/>
  <c r="G22" i="1"/>
  <c r="H22" i="1"/>
  <c r="L22" i="1"/>
  <c r="M22" i="1"/>
  <c r="B22" i="1"/>
  <c r="M19" i="5" l="1"/>
  <c r="G23" i="1"/>
  <c r="B23" i="1"/>
  <c r="H23" i="1"/>
  <c r="I20" i="1" s="1"/>
  <c r="I21" i="1" s="1"/>
  <c r="I23" i="1" s="1"/>
  <c r="J20" i="1" s="1"/>
  <c r="J21" i="1" s="1"/>
  <c r="J23" i="1" s="1"/>
  <c r="K20" i="1" s="1"/>
  <c r="K21" i="1" s="1"/>
  <c r="K23" i="1" s="1"/>
  <c r="L20" i="1" s="1"/>
  <c r="L21" i="1" s="1"/>
  <c r="L23" i="1" s="1"/>
  <c r="M20" i="1" s="1"/>
  <c r="M21" i="1" s="1"/>
  <c r="M23" i="1" s="1"/>
  <c r="C23" i="1"/>
  <c r="D21" i="1" s="1"/>
  <c r="D23" i="1" s="1"/>
  <c r="E21" i="1" s="1"/>
  <c r="E23" i="1" s="1"/>
  <c r="F23" i="1"/>
</calcChain>
</file>

<file path=xl/sharedStrings.xml><?xml version="1.0" encoding="utf-8"?>
<sst xmlns="http://schemas.openxmlformats.org/spreadsheetml/2006/main" count="185" uniqueCount="104">
  <si>
    <t>AGOSTO</t>
  </si>
  <si>
    <t>SETEMBRO</t>
  </si>
  <si>
    <t>OUTUBRO</t>
  </si>
  <si>
    <t>DEZEMBRO</t>
  </si>
  <si>
    <t>JULHO</t>
  </si>
  <si>
    <t>NOVEMBRO</t>
  </si>
  <si>
    <t>SEDE</t>
  </si>
  <si>
    <t>ENGENHO NOVO</t>
  </si>
  <si>
    <t>OSASCO</t>
  </si>
  <si>
    <t>CORRESPONDÊNCIA</t>
  </si>
  <si>
    <t>ENTRADA MÊS</t>
  </si>
  <si>
    <t>SALDO ANTERIOR</t>
  </si>
  <si>
    <t>TOTAL GERAL</t>
  </si>
  <si>
    <t>SAÍDA</t>
  </si>
  <si>
    <t>SALDO</t>
  </si>
  <si>
    <t>ENTRADA</t>
  </si>
  <si>
    <t>JANEIRO</t>
  </si>
  <si>
    <t>FEVEREIRO</t>
  </si>
  <si>
    <t>MARÇO</t>
  </si>
  <si>
    <t>ABRIL</t>
  </si>
  <si>
    <t>MAIO</t>
  </si>
  <si>
    <t>JUNHO</t>
  </si>
  <si>
    <t xml:space="preserve">JULHO </t>
  </si>
  <si>
    <t xml:space="preserve">AGOSTO </t>
  </si>
  <si>
    <t xml:space="preserve">NOVEMBRO </t>
  </si>
  <si>
    <t>Aquisição de livos</t>
  </si>
  <si>
    <t>SALDO TOTAL</t>
  </si>
  <si>
    <t>Contabilidade Lobato</t>
  </si>
  <si>
    <t>Simpósio - Entrada</t>
  </si>
  <si>
    <t>DAMARES</t>
  </si>
  <si>
    <t>Custos Doc. Cartório</t>
  </si>
  <si>
    <t>Ajuda de custo (Professor)</t>
  </si>
  <si>
    <t>Simpósio- Saída</t>
  </si>
  <si>
    <t>FERNANDA DELFINO PADILHA</t>
  </si>
  <si>
    <t>Aquisição de materiais - saídas</t>
  </si>
  <si>
    <t>Entradas Ofertas ITS (Patrocinio)</t>
  </si>
  <si>
    <t>ALMERISO DOS SANTOS</t>
  </si>
  <si>
    <t>CAIQUE DA SILVA SANTOS</t>
  </si>
  <si>
    <t>Devolução (Matricula/Livros)</t>
  </si>
  <si>
    <t>ARISTON</t>
  </si>
  <si>
    <t>MATHEUS HENRIQUE</t>
  </si>
  <si>
    <t>LUCAS SILVA DE LIMA</t>
  </si>
  <si>
    <t>CESAR E ANA</t>
  </si>
  <si>
    <t>JOSÉ FERNANDES (S. PARNAIBA)</t>
  </si>
  <si>
    <t>DANIELE MARIA LOPES</t>
  </si>
  <si>
    <t>TATYANA P.C. DA SILVA</t>
  </si>
  <si>
    <t>JESSICA HIPPOLITO DE O.</t>
  </si>
  <si>
    <t>MARIANA P. C. DA SILVA</t>
  </si>
  <si>
    <t>PAULO HENRIQUE DE O. G.</t>
  </si>
  <si>
    <t>JOÃO VICTOR C. DA SILVA</t>
  </si>
  <si>
    <t>NEUSA SANCHES</t>
  </si>
  <si>
    <t>ROSITA</t>
  </si>
  <si>
    <t>DEBORA</t>
  </si>
  <si>
    <t>ROSANA MARIA DOS SANTOS</t>
  </si>
  <si>
    <t>BIANCA SOUSA LOPES SOARES</t>
  </si>
  <si>
    <t>ELI</t>
  </si>
  <si>
    <t>ALCINEU</t>
  </si>
  <si>
    <t>HELENA</t>
  </si>
  <si>
    <t>JOÃO VICTOR</t>
  </si>
  <si>
    <t>FERNANDO</t>
  </si>
  <si>
    <t>SÉRGIO</t>
  </si>
  <si>
    <t>TATIANE</t>
  </si>
  <si>
    <t>MOISÉS</t>
  </si>
  <si>
    <t>GRAÇA</t>
  </si>
  <si>
    <t>GILENO</t>
  </si>
  <si>
    <t>ARTHUR</t>
  </si>
  <si>
    <t>THAIS</t>
  </si>
  <si>
    <t>IRACEMA</t>
  </si>
  <si>
    <t>EDINALDO L. DOS S. J.</t>
  </si>
  <si>
    <t>LEILA SAMA DOS S. V.</t>
  </si>
  <si>
    <t>REINALDO</t>
  </si>
  <si>
    <t>NILSON</t>
  </si>
  <si>
    <t>NETE</t>
  </si>
  <si>
    <t>OSMAR DA COSTA VEIGA</t>
  </si>
  <si>
    <t>LUCIANA JESUS DA SILVA</t>
  </si>
  <si>
    <t>ERISSON BRUNO FERREIRA SANTOS</t>
  </si>
  <si>
    <t>GILVANO PEREIRA DE SOUZA</t>
  </si>
  <si>
    <t>CRISTINA B. MIRANDA MORAIS</t>
  </si>
  <si>
    <t>ANTÔNIO TEIXEIRA DE SOUZA</t>
  </si>
  <si>
    <t>FABIO SANTOS DE SOUZA</t>
  </si>
  <si>
    <t>CARLOS EDUARDO GOES FERREIRA</t>
  </si>
  <si>
    <t>ALAN BORGES DE A. SANTOS</t>
  </si>
  <si>
    <t xml:space="preserve">JANAINA S. DOS SANTOS </t>
  </si>
  <si>
    <t>MARIA CLARA S. Q. BASTOS</t>
  </si>
  <si>
    <t>FABRICIO MIRANDA DO L.</t>
  </si>
  <si>
    <t>HELENA FERREIRA NERIS</t>
  </si>
  <si>
    <t>WASHINGTON ALVES DOS SANTOS</t>
  </si>
  <si>
    <t>ASSUNTO: 2026</t>
  </si>
  <si>
    <t xml:space="preserve">INARA BRENDA </t>
  </si>
  <si>
    <t xml:space="preserve">Realização: </t>
  </si>
  <si>
    <t>SIMPÓSIO 2026</t>
  </si>
  <si>
    <t>ASSUNTO 2026</t>
  </si>
  <si>
    <t>RITA FABIANA</t>
  </si>
  <si>
    <t>RONALD DOS SANTOS</t>
  </si>
  <si>
    <t>DAVID DE SOUZA</t>
  </si>
  <si>
    <t>JOSY</t>
  </si>
  <si>
    <t>JOSE FLAVIANO DOS PASSOS SILVA</t>
  </si>
  <si>
    <t>DULCELINA APARECIDA GONÇALVES</t>
  </si>
  <si>
    <t>TOTAL ANO DE 2026</t>
  </si>
  <si>
    <t>DAVI ROSENO GONÇALVES</t>
  </si>
  <si>
    <t>GERALDO LOPES DA SILVA</t>
  </si>
  <si>
    <t>IRANEIDE DOS SANTOS BARBOSA</t>
  </si>
  <si>
    <t>ELZA MARIA AVILA SANTOS</t>
  </si>
  <si>
    <t>IRANEIDE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</si>
</sst>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3" fillId="0" borderId="1" xfId="1" applyFont="1" applyBorder="1"/>
    <xf numFmtId="44" fontId="5" fillId="0" borderId="1" xfId="1" applyFont="1" applyBorder="1"/>
    <xf numFmtId="44" fontId="0" fillId="0" borderId="1" xfId="0" applyNumberFormat="1" applyBorder="1"/>
    <xf numFmtId="0" fontId="4" fillId="0" borderId="1" xfId="0" applyFont="1" applyBorder="1"/>
    <xf numFmtId="0" fontId="2" fillId="0" borderId="1" xfId="0" applyFont="1" applyBorder="1"/>
    <xf numFmtId="44" fontId="3" fillId="0" borderId="1" xfId="0" applyNumberFormat="1" applyFont="1" applyBorder="1"/>
    <xf numFmtId="44" fontId="0" fillId="0" borderId="0" xfId="1" applyFont="1" applyBorder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2" xfId="0" applyFont="1" applyBorder="1"/>
    <xf numFmtId="44" fontId="0" fillId="0" borderId="3" xfId="0" applyNumberFormat="1" applyBorder="1"/>
    <xf numFmtId="44" fontId="0" fillId="0" borderId="3" xfId="1" applyFont="1" applyBorder="1"/>
    <xf numFmtId="44" fontId="0" fillId="0" borderId="4" xfId="1" applyFont="1" applyBorder="1"/>
    <xf numFmtId="0" fontId="4" fillId="0" borderId="5" xfId="0" applyFont="1" applyBorder="1"/>
    <xf numFmtId="44" fontId="0" fillId="0" borderId="6" xfId="1" applyFont="1" applyBorder="1"/>
    <xf numFmtId="0" fontId="4" fillId="0" borderId="7" xfId="0" applyFont="1" applyBorder="1"/>
    <xf numFmtId="44" fontId="0" fillId="0" borderId="8" xfId="0" applyNumberFormat="1" applyBorder="1"/>
    <xf numFmtId="44" fontId="0" fillId="0" borderId="8" xfId="1" applyFont="1" applyBorder="1"/>
    <xf numFmtId="44" fontId="0" fillId="0" borderId="9" xfId="1" applyFont="1" applyBorder="1"/>
    <xf numFmtId="44" fontId="0" fillId="0" borderId="10" xfId="1" applyFont="1" applyBorder="1"/>
    <xf numFmtId="44" fontId="4" fillId="0" borderId="1" xfId="0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9E9B-6E4A-40B6-93DC-A139E32CA8DC}">
  <dimension ref="A1:M33"/>
  <sheetViews>
    <sheetView tabSelected="1" workbookViewId="0">
      <pane xSplit="1" topLeftCell="B1" activePane="topRight" state="frozen"/>
      <selection pane="topRight" activeCell="H26" sqref="H26"/>
    </sheetView>
  </sheetViews>
  <sheetFormatPr defaultRowHeight="15" x14ac:dyDescent="0.25"/>
  <cols>
    <col min="1" max="1" width="30" bestFit="1" customWidth="1"/>
    <col min="2" max="2" width="15.5703125" customWidth="1"/>
    <col min="3" max="3" width="15.28515625" customWidth="1"/>
    <col min="4" max="5" width="13.7109375" customWidth="1"/>
    <col min="6" max="6" width="13" customWidth="1"/>
    <col min="7" max="8" width="14.5703125" customWidth="1"/>
    <col min="9" max="9" width="17.140625" customWidth="1"/>
    <col min="10" max="10" width="15" customWidth="1"/>
    <col min="11" max="11" width="14.140625" customWidth="1"/>
    <col min="12" max="12" width="13.85546875" customWidth="1"/>
    <col min="13" max="13" width="14.85546875" customWidth="1"/>
  </cols>
  <sheetData>
    <row r="1" spans="1:13" x14ac:dyDescent="0.25">
      <c r="A1" s="5" t="s">
        <v>87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4</v>
      </c>
      <c r="I1" s="6" t="s">
        <v>23</v>
      </c>
      <c r="J1" s="6" t="s">
        <v>1</v>
      </c>
      <c r="K1" s="6" t="s">
        <v>2</v>
      </c>
      <c r="L1" s="6" t="s">
        <v>24</v>
      </c>
      <c r="M1" s="6" t="s">
        <v>3</v>
      </c>
    </row>
    <row r="2" spans="1:13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x14ac:dyDescent="0.25">
      <c r="A3" s="7" t="s">
        <v>9</v>
      </c>
      <c r="B3" s="8">
        <v>140</v>
      </c>
      <c r="C3" s="8">
        <v>0</v>
      </c>
      <c r="D3" s="8">
        <v>490</v>
      </c>
      <c r="E3" s="28">
        <v>200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7" t="s">
        <v>7</v>
      </c>
      <c r="B4" s="8">
        <v>50</v>
      </c>
      <c r="C4" s="8">
        <v>190</v>
      </c>
      <c r="D4" s="8">
        <v>1040</v>
      </c>
      <c r="E4" s="28">
        <v>300</v>
      </c>
      <c r="F4" s="8">
        <v>450</v>
      </c>
      <c r="G4" s="8">
        <v>850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5">
      <c r="A5" s="7" t="s">
        <v>8</v>
      </c>
      <c r="B5" s="30">
        <v>390</v>
      </c>
      <c r="C5" s="8">
        <v>150</v>
      </c>
      <c r="D5" s="8">
        <v>100</v>
      </c>
      <c r="E5" s="28">
        <v>300</v>
      </c>
      <c r="F5" s="8">
        <v>200</v>
      </c>
      <c r="G5" s="8">
        <v>100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5">
      <c r="A6" s="7" t="s">
        <v>6</v>
      </c>
      <c r="B6" s="30">
        <v>0</v>
      </c>
      <c r="C6" s="8">
        <v>0</v>
      </c>
      <c r="D6" s="8">
        <v>0</v>
      </c>
      <c r="E6" s="2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5">
      <c r="A7" s="7" t="s">
        <v>39</v>
      </c>
      <c r="B7" s="30">
        <v>450</v>
      </c>
      <c r="C7" s="8">
        <v>0</v>
      </c>
      <c r="D7" s="8">
        <v>600</v>
      </c>
      <c r="E7" s="28">
        <v>0</v>
      </c>
      <c r="F7" s="10">
        <v>450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8">
        <v>0</v>
      </c>
    </row>
    <row r="8" spans="1:13" ht="15.6" customHeight="1" x14ac:dyDescent="0.25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</row>
    <row r="9" spans="1:13" ht="15.6" customHeight="1" x14ac:dyDescent="0.25">
      <c r="A9" s="7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5">
      <c r="A10" s="7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5">
      <c r="A11" s="7" t="s">
        <v>32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5">
      <c r="A12" s="7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5">
      <c r="A13" s="7" t="s">
        <v>25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5">
      <c r="A14" s="7" t="s">
        <v>34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1000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5">
      <c r="A15" s="7" t="s">
        <v>31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5">
      <c r="A16" s="7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5">
      <c r="A17" s="7" t="s">
        <v>27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</row>
    <row r="19" spans="1:13" x14ac:dyDescent="0.25">
      <c r="A19" s="12" t="s">
        <v>10</v>
      </c>
      <c r="B19" s="8">
        <f>SUM(B3,B4:B7)</f>
        <v>1030</v>
      </c>
      <c r="C19" s="11">
        <f>SUM(C3:C7)</f>
        <v>340</v>
      </c>
      <c r="D19" s="11">
        <v>2230</v>
      </c>
      <c r="E19" s="11">
        <f>SUM(E3,E4,E5,E6,E7,E8,E9,E10,E11)</f>
        <v>800</v>
      </c>
      <c r="F19" s="11">
        <f t="shared" ref="F19:M19" si="0">SUM(F3,F4,F5,F6,F7,F8,F9,F10,F11)</f>
        <v>1100</v>
      </c>
      <c r="G19" s="11">
        <f>SUM(G3,G4,G5,G6,G7,G8,G9,G10,G11)</f>
        <v>950</v>
      </c>
      <c r="H19" s="11">
        <f t="shared" si="0"/>
        <v>0</v>
      </c>
      <c r="I19" s="11">
        <f>SUM(I3,I4,I5,I6,I7,I8,I9,I10)</f>
        <v>0</v>
      </c>
      <c r="J19" s="11">
        <f>SUM(J3,J4,J5,J6,J7,J8,J9,J10)</f>
        <v>0</v>
      </c>
      <c r="K19" s="11">
        <f>SUM(K3,K4,K5,K6,K7,K8,K9,K10)</f>
        <v>0</v>
      </c>
      <c r="L19" s="11">
        <f t="shared" si="0"/>
        <v>0</v>
      </c>
      <c r="M19" s="11">
        <f t="shared" si="0"/>
        <v>0</v>
      </c>
    </row>
    <row r="20" spans="1:13" x14ac:dyDescent="0.25">
      <c r="A20" s="12" t="s">
        <v>11</v>
      </c>
      <c r="B20" s="8">
        <v>13067.29</v>
      </c>
      <c r="C20" s="8">
        <v>14097.29</v>
      </c>
      <c r="D20" s="11">
        <v>14437.29</v>
      </c>
      <c r="E20" s="11">
        <v>16667.29</v>
      </c>
      <c r="F20" s="11">
        <v>17469.29</v>
      </c>
      <c r="G20" s="11">
        <v>18567.29</v>
      </c>
      <c r="H20" s="8">
        <v>0</v>
      </c>
      <c r="I20" s="8">
        <f>H23</f>
        <v>0</v>
      </c>
      <c r="J20" s="8">
        <f>I23</f>
        <v>0</v>
      </c>
      <c r="K20" s="8">
        <f>J23</f>
        <v>0</v>
      </c>
      <c r="L20" s="8">
        <f>K23</f>
        <v>0</v>
      </c>
      <c r="M20" s="8">
        <f>L23</f>
        <v>0</v>
      </c>
    </row>
    <row r="21" spans="1:13" x14ac:dyDescent="0.25">
      <c r="A21" s="12" t="s">
        <v>12</v>
      </c>
      <c r="B21" s="11">
        <f>SUM(B19:B20)</f>
        <v>14097.29</v>
      </c>
      <c r="C21" s="11">
        <f>SUM(C19,C20)</f>
        <v>14437.29</v>
      </c>
      <c r="D21" s="8">
        <f t="shared" ref="D21:H21" si="1">SUM(D19,D20)</f>
        <v>16667.29</v>
      </c>
      <c r="E21" s="8">
        <f t="shared" si="1"/>
        <v>17467.29</v>
      </c>
      <c r="F21" s="8">
        <f t="shared" si="1"/>
        <v>18569.29</v>
      </c>
      <c r="G21" s="8">
        <f t="shared" si="1"/>
        <v>19517.29</v>
      </c>
      <c r="H21" s="8">
        <f t="shared" si="1"/>
        <v>0</v>
      </c>
      <c r="I21" s="8">
        <f>SUM(I20,I19)</f>
        <v>0</v>
      </c>
      <c r="J21" s="8">
        <f t="shared" ref="J21:M21" si="2">SUM(J20,J19)</f>
        <v>0</v>
      </c>
      <c r="K21" s="8">
        <f t="shared" si="2"/>
        <v>0</v>
      </c>
      <c r="L21" s="8">
        <f t="shared" si="2"/>
        <v>0</v>
      </c>
      <c r="M21" s="8">
        <f t="shared" si="2"/>
        <v>0</v>
      </c>
    </row>
    <row r="22" spans="1:13" x14ac:dyDescent="0.25">
      <c r="A22" s="13" t="s">
        <v>13</v>
      </c>
      <c r="B22" s="14">
        <f>B12+B13+B14+B15+B16+B17</f>
        <v>0</v>
      </c>
      <c r="C22" s="14">
        <f t="shared" ref="C22:M22" si="3">C12+C13+C14+C15+C16+C17</f>
        <v>0</v>
      </c>
      <c r="D22" s="14">
        <f t="shared" si="3"/>
        <v>0</v>
      </c>
      <c r="E22" s="14">
        <f t="shared" si="3"/>
        <v>0</v>
      </c>
      <c r="F22" s="14">
        <f t="shared" si="3"/>
        <v>0</v>
      </c>
      <c r="G22" s="14">
        <f t="shared" si="3"/>
        <v>1000</v>
      </c>
      <c r="H22" s="14">
        <f t="shared" si="3"/>
        <v>0</v>
      </c>
      <c r="I22" s="14">
        <f>I12+I13+I14+I15+I16+I17+I11</f>
        <v>0</v>
      </c>
      <c r="J22" s="14">
        <f>J12+J13+J14+J15+J16+J17+J11</f>
        <v>0</v>
      </c>
      <c r="K22" s="14">
        <f>K12+K13+K14+K15+K16+K17+K11</f>
        <v>0</v>
      </c>
      <c r="L22" s="14">
        <f t="shared" si="3"/>
        <v>0</v>
      </c>
      <c r="M22" s="14">
        <f t="shared" si="3"/>
        <v>0</v>
      </c>
    </row>
    <row r="23" spans="1:13" x14ac:dyDescent="0.25">
      <c r="A23" s="12" t="s">
        <v>14</v>
      </c>
      <c r="B23" s="11">
        <f>B21-B22</f>
        <v>14097.29</v>
      </c>
      <c r="C23" s="8">
        <f t="shared" ref="C23:H23" si="4">C21-C22</f>
        <v>14437.29</v>
      </c>
      <c r="D23" s="8">
        <f t="shared" si="4"/>
        <v>16667.29</v>
      </c>
      <c r="E23" s="8">
        <f t="shared" si="4"/>
        <v>17467.29</v>
      </c>
      <c r="F23" s="8">
        <f t="shared" si="4"/>
        <v>18569.29</v>
      </c>
      <c r="G23" s="8">
        <f t="shared" si="4"/>
        <v>18517.29</v>
      </c>
      <c r="H23" s="8">
        <f t="shared" si="4"/>
        <v>0</v>
      </c>
      <c r="I23" s="8">
        <f>I21-I22</f>
        <v>0</v>
      </c>
      <c r="J23" s="8">
        <f>J21-J22</f>
        <v>0</v>
      </c>
      <c r="K23" s="8">
        <f t="shared" ref="K23:M23" si="5">K21-K22</f>
        <v>0</v>
      </c>
      <c r="L23" s="8">
        <f t="shared" si="5"/>
        <v>0</v>
      </c>
      <c r="M23" s="8">
        <f t="shared" si="5"/>
        <v>0</v>
      </c>
    </row>
    <row r="24" spans="1:13" ht="15.75" thickBot="1" x14ac:dyDescent="0.3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1:13" x14ac:dyDescent="0.25">
      <c r="A25" s="18" t="s">
        <v>90</v>
      </c>
      <c r="B25" s="19"/>
      <c r="C25" s="20"/>
      <c r="D25" s="21"/>
      <c r="E25" s="1"/>
      <c r="F25" s="1"/>
      <c r="G25" s="1"/>
      <c r="H25" s="3"/>
    </row>
    <row r="26" spans="1:13" x14ac:dyDescent="0.25">
      <c r="A26" s="22" t="s">
        <v>89</v>
      </c>
      <c r="B26" s="11" t="s">
        <v>15</v>
      </c>
      <c r="C26" s="8" t="s">
        <v>13</v>
      </c>
      <c r="D26" s="23" t="s">
        <v>26</v>
      </c>
      <c r="E26" s="1"/>
      <c r="F26" s="1"/>
      <c r="G26" s="1"/>
      <c r="H26" s="3"/>
    </row>
    <row r="27" spans="1:13" ht="15.75" thickBot="1" x14ac:dyDescent="0.3">
      <c r="A27" s="24"/>
      <c r="B27" s="25"/>
      <c r="C27" s="26"/>
      <c r="D27" s="27"/>
      <c r="E27" s="1"/>
      <c r="F27" s="1"/>
      <c r="G27" s="1"/>
      <c r="H27" s="3"/>
    </row>
    <row r="28" spans="1:13" x14ac:dyDescent="0.25">
      <c r="A28" s="17"/>
      <c r="B28" s="2"/>
      <c r="C28" s="1"/>
      <c r="D28" s="1"/>
      <c r="E28" s="1"/>
      <c r="F28" s="1"/>
      <c r="G28" s="1"/>
      <c r="H28" s="3"/>
    </row>
    <row r="29" spans="1:13" x14ac:dyDescent="0.25">
      <c r="A29" s="51"/>
      <c r="B29" s="51"/>
      <c r="C29" s="51"/>
      <c r="D29" s="51"/>
      <c r="F29" s="4"/>
    </row>
    <row r="30" spans="1:13" ht="18" customHeight="1" x14ac:dyDescent="0.25">
      <c r="A30" s="42"/>
      <c r="B30" s="42"/>
      <c r="C30" s="42"/>
      <c r="D30" s="42"/>
    </row>
    <row r="31" spans="1:13" ht="19.149999999999999" customHeight="1" x14ac:dyDescent="0.25">
      <c r="A31" s="42"/>
      <c r="B31" s="42"/>
      <c r="C31" s="42"/>
    </row>
    <row r="32" spans="1:13" s="16" customFormat="1" ht="16.899999999999999" customHeight="1" x14ac:dyDescent="0.25">
      <c r="A32" s="39"/>
      <c r="B32" s="40"/>
      <c r="C32" s="40"/>
    </row>
    <row r="33" spans="1:3" x14ac:dyDescent="0.25">
      <c r="A33" s="41"/>
      <c r="B33" s="41"/>
      <c r="C33" s="41"/>
    </row>
  </sheetData>
  <mergeCells count="9">
    <mergeCell ref="A32:C32"/>
    <mergeCell ref="A33:C33"/>
    <mergeCell ref="A30:D30"/>
    <mergeCell ref="A2:M2"/>
    <mergeCell ref="A18:M18"/>
    <mergeCell ref="A24:M24"/>
    <mergeCell ref="A8:M8"/>
    <mergeCell ref="A31:C31"/>
    <mergeCell ref="A29:D29"/>
  </mergeCells>
  <phoneticPr fontId="6" type="noConversion"/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AF99-86C3-4CC0-A0A2-7C656EA1222E}">
  <dimension ref="A1:O20"/>
  <sheetViews>
    <sheetView zoomScaleNormal="100" workbookViewId="0">
      <pane xSplit="1" topLeftCell="B1" activePane="topRight" state="frozen"/>
      <selection pane="topRight" activeCell="G17" sqref="G17"/>
    </sheetView>
  </sheetViews>
  <sheetFormatPr defaultRowHeight="15" x14ac:dyDescent="0.25"/>
  <cols>
    <col min="1" max="1" width="35.28515625" customWidth="1"/>
    <col min="2" max="2" width="11.140625" customWidth="1"/>
    <col min="3" max="3" width="12.85546875" customWidth="1"/>
    <col min="4" max="4" width="15.140625" customWidth="1"/>
    <col min="5" max="5" width="12.28515625" customWidth="1"/>
    <col min="6" max="6" width="12.85546875" customWidth="1"/>
    <col min="7" max="7" width="12.7109375" customWidth="1"/>
    <col min="8" max="8" width="12.5703125" customWidth="1"/>
    <col min="9" max="10" width="10.5703125" bestFit="1" customWidth="1"/>
    <col min="11" max="11" width="12.140625" style="2" customWidth="1"/>
    <col min="12" max="12" width="11.42578125" customWidth="1"/>
    <col min="13" max="13" width="12.140625" bestFit="1" customWidth="1"/>
  </cols>
  <sheetData>
    <row r="1" spans="1:13" x14ac:dyDescent="0.25">
      <c r="A1" s="5" t="s">
        <v>91</v>
      </c>
      <c r="B1" s="35" t="s">
        <v>16</v>
      </c>
      <c r="C1" s="35" t="s">
        <v>17</v>
      </c>
      <c r="D1" s="35" t="s">
        <v>18</v>
      </c>
      <c r="E1" s="35" t="s">
        <v>19</v>
      </c>
      <c r="F1" s="35" t="s">
        <v>20</v>
      </c>
      <c r="G1" s="35" t="s">
        <v>21</v>
      </c>
      <c r="H1" s="35" t="s">
        <v>22</v>
      </c>
      <c r="I1" s="35" t="s">
        <v>0</v>
      </c>
      <c r="J1" s="35" t="s">
        <v>1</v>
      </c>
      <c r="K1" s="36" t="s">
        <v>2</v>
      </c>
      <c r="L1" s="35" t="s">
        <v>5</v>
      </c>
      <c r="M1" s="35" t="s">
        <v>3</v>
      </c>
    </row>
    <row r="2" spans="1:13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x14ac:dyDescent="0.25">
      <c r="A3" s="32" t="s">
        <v>41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32" t="s">
        <v>36</v>
      </c>
      <c r="B4" s="8">
        <v>0</v>
      </c>
      <c r="C4" s="8">
        <v>0</v>
      </c>
      <c r="D4" s="8">
        <v>150</v>
      </c>
      <c r="E4" s="8">
        <v>0</v>
      </c>
      <c r="F4" s="8">
        <v>0</v>
      </c>
      <c r="G4" s="8">
        <v>150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5">
      <c r="A5" s="32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150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5">
      <c r="A6" s="33" t="s">
        <v>96</v>
      </c>
      <c r="B6" s="8">
        <v>0</v>
      </c>
      <c r="C6" s="8">
        <v>190</v>
      </c>
      <c r="D6" s="8">
        <v>0</v>
      </c>
      <c r="E6" s="8">
        <v>150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5">
      <c r="A7" s="32" t="s">
        <v>52</v>
      </c>
      <c r="B7" s="8">
        <v>0</v>
      </c>
      <c r="C7" s="8">
        <v>0</v>
      </c>
      <c r="D7" s="8">
        <v>0</v>
      </c>
      <c r="E7" s="8">
        <v>0</v>
      </c>
      <c r="F7" s="8">
        <v>150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5">
      <c r="A8" s="32" t="s">
        <v>82</v>
      </c>
      <c r="B8" s="8">
        <v>0</v>
      </c>
      <c r="C8" s="8">
        <v>0</v>
      </c>
      <c r="D8" s="8">
        <v>0</v>
      </c>
      <c r="E8" s="8">
        <v>0</v>
      </c>
      <c r="F8" s="8">
        <v>150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5">
      <c r="A9" s="32" t="s">
        <v>37</v>
      </c>
      <c r="B9" s="8">
        <v>50</v>
      </c>
      <c r="C9" s="8">
        <v>0</v>
      </c>
      <c r="D9" s="8">
        <v>150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5">
      <c r="A10" s="32" t="s">
        <v>73</v>
      </c>
      <c r="B10" s="8">
        <v>0</v>
      </c>
      <c r="C10" s="8">
        <v>0</v>
      </c>
      <c r="D10" s="8">
        <v>300</v>
      </c>
      <c r="E10" s="8">
        <v>0</v>
      </c>
      <c r="F10" s="8">
        <v>0</v>
      </c>
      <c r="G10" s="8">
        <v>150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5">
      <c r="A11" s="32" t="s">
        <v>77</v>
      </c>
      <c r="B11" s="8">
        <v>0</v>
      </c>
      <c r="C11" s="8">
        <v>0</v>
      </c>
      <c r="D11" s="8">
        <v>100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5">
      <c r="A12" s="32" t="s">
        <v>85</v>
      </c>
      <c r="B12" s="8">
        <v>0</v>
      </c>
      <c r="C12" s="8">
        <v>0</v>
      </c>
      <c r="D12" s="8">
        <v>150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5">
      <c r="A13" s="34" t="s">
        <v>79</v>
      </c>
      <c r="B13" s="8">
        <v>0</v>
      </c>
      <c r="C13" s="8">
        <v>0</v>
      </c>
      <c r="D13" s="8">
        <v>150</v>
      </c>
      <c r="E13" s="8">
        <v>0</v>
      </c>
      <c r="F13" s="8">
        <v>0</v>
      </c>
      <c r="G13" s="8">
        <v>150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5">
      <c r="A14" s="34" t="s">
        <v>99</v>
      </c>
      <c r="B14" s="8">
        <v>0</v>
      </c>
      <c r="C14" s="8">
        <v>0</v>
      </c>
      <c r="D14" s="8">
        <v>40</v>
      </c>
      <c r="E14" s="8">
        <v>0</v>
      </c>
      <c r="F14" s="8">
        <v>0</v>
      </c>
      <c r="G14" s="8">
        <v>100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5">
      <c r="A15" s="34" t="s">
        <v>103</v>
      </c>
      <c r="B15" s="8">
        <v>0</v>
      </c>
      <c r="C15" s="8">
        <v>0</v>
      </c>
      <c r="D15" s="8">
        <v>0</v>
      </c>
      <c r="E15" s="8">
        <v>150</v>
      </c>
      <c r="F15" s="8">
        <v>150</v>
      </c>
      <c r="G15" s="8">
        <v>150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</row>
    <row r="17" spans="1:15" x14ac:dyDescent="0.25">
      <c r="A17" s="35" t="s">
        <v>15</v>
      </c>
      <c r="B17" s="8">
        <f t="shared" ref="B17:M17" si="0">SUM(B3:B13)</f>
        <v>50</v>
      </c>
      <c r="C17" s="8">
        <f t="shared" si="0"/>
        <v>190</v>
      </c>
      <c r="D17" s="8">
        <f>SUM(D3:D14)</f>
        <v>1040</v>
      </c>
      <c r="E17" s="8">
        <f>SUM(E3:E15)</f>
        <v>300</v>
      </c>
      <c r="F17" s="8">
        <f>SUM(F3:F15)</f>
        <v>450</v>
      </c>
      <c r="G17" s="8">
        <f>SUM(G3:G15)</f>
        <v>850</v>
      </c>
      <c r="H17" s="8">
        <f t="shared" si="0"/>
        <v>0</v>
      </c>
      <c r="I17" s="8">
        <f t="shared" si="0"/>
        <v>0</v>
      </c>
      <c r="J17" s="8">
        <f t="shared" si="0"/>
        <v>0</v>
      </c>
      <c r="K17" s="8">
        <f t="shared" si="0"/>
        <v>0</v>
      </c>
      <c r="L17" s="8">
        <f t="shared" si="0"/>
        <v>0</v>
      </c>
      <c r="M17" s="8">
        <f t="shared" si="0"/>
        <v>0</v>
      </c>
    </row>
    <row r="18" spans="1:15" x14ac:dyDescent="0.25">
      <c r="A18" s="37" t="s">
        <v>13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r="19" spans="1:15" x14ac:dyDescent="0.25">
      <c r="A19" s="35" t="s">
        <v>14</v>
      </c>
      <c r="B19" s="8">
        <f>B17-B18</f>
        <v>50</v>
      </c>
      <c r="C19" s="8">
        <f t="shared" ref="C19:M19" si="1">C17-C18</f>
        <v>190</v>
      </c>
      <c r="D19" s="8">
        <f t="shared" si="1"/>
        <v>1040</v>
      </c>
      <c r="E19" s="8">
        <f t="shared" si="1"/>
        <v>300</v>
      </c>
      <c r="F19" s="8">
        <f t="shared" si="1"/>
        <v>450</v>
      </c>
      <c r="G19" s="8">
        <f t="shared" si="1"/>
        <v>850</v>
      </c>
      <c r="H19" s="8">
        <f t="shared" si="1"/>
        <v>0</v>
      </c>
      <c r="I19" s="8">
        <f t="shared" si="1"/>
        <v>0</v>
      </c>
      <c r="J19" s="8">
        <f t="shared" si="1"/>
        <v>0</v>
      </c>
      <c r="K19" s="8">
        <f t="shared" si="1"/>
        <v>0</v>
      </c>
      <c r="L19" s="8">
        <f t="shared" si="1"/>
        <v>0</v>
      </c>
      <c r="M19" s="8">
        <f t="shared" si="1"/>
        <v>0</v>
      </c>
      <c r="N19" s="15"/>
      <c r="O19" s="15"/>
    </row>
    <row r="20" spans="1:15" ht="25.5" customHeight="1" x14ac:dyDescent="0.25">
      <c r="A20" s="52" t="s">
        <v>98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4"/>
      <c r="M20" s="38">
        <f>SUM(B19:M19)</f>
        <v>2880</v>
      </c>
    </row>
  </sheetData>
  <mergeCells count="3">
    <mergeCell ref="A2:M2"/>
    <mergeCell ref="A16:M16"/>
    <mergeCell ref="A20:L20"/>
  </mergeCells>
  <pageMargins left="0.511811024" right="0.511811024" top="0.78740157499999996" bottom="0.78740157499999996" header="0.31496062000000002" footer="0.31496062000000002"/>
  <pageSetup paperSize="9" scale="4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B274-0CCC-4F1C-97A1-7BCBD7F77DAF}">
  <dimension ref="A1:M25"/>
  <sheetViews>
    <sheetView topLeftCell="A5" workbookViewId="0">
      <pane xSplit="1" topLeftCell="B1" activePane="topRight" state="frozen"/>
      <selection pane="topRight" activeCell="F9" sqref="F9"/>
    </sheetView>
  </sheetViews>
  <sheetFormatPr defaultRowHeight="15" x14ac:dyDescent="0.25"/>
  <cols>
    <col min="1" max="1" width="23" customWidth="1"/>
    <col min="2" max="2" width="14.140625" customWidth="1"/>
    <col min="3" max="3" width="14.85546875" customWidth="1"/>
    <col min="4" max="5" width="13.140625" customWidth="1"/>
    <col min="6" max="8" width="11.7109375" customWidth="1"/>
    <col min="9" max="9" width="12.5703125" customWidth="1"/>
    <col min="10" max="11" width="11.7109375" customWidth="1"/>
    <col min="12" max="12" width="12.28515625" customWidth="1"/>
    <col min="13" max="13" width="13.7109375" customWidth="1"/>
  </cols>
  <sheetData>
    <row r="1" spans="1:13" x14ac:dyDescent="0.25">
      <c r="A1" s="5" t="s">
        <v>91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0</v>
      </c>
      <c r="J1" s="6" t="s">
        <v>1</v>
      </c>
      <c r="K1" s="6" t="s">
        <v>2</v>
      </c>
      <c r="L1" s="6" t="s">
        <v>5</v>
      </c>
      <c r="M1" s="6" t="s">
        <v>3</v>
      </c>
    </row>
    <row r="2" spans="1:13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x14ac:dyDescent="0.25">
      <c r="A3" s="34" t="s">
        <v>55</v>
      </c>
      <c r="B3" s="31">
        <v>0</v>
      </c>
      <c r="C3" s="31">
        <v>0</v>
      </c>
      <c r="D3" s="31">
        <v>0</v>
      </c>
      <c r="E3" s="31">
        <v>0</v>
      </c>
      <c r="F3" s="31">
        <v>150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</row>
    <row r="4" spans="1:13" x14ac:dyDescent="0.25">
      <c r="A4" s="34" t="s">
        <v>56</v>
      </c>
      <c r="B4" s="31">
        <v>0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</row>
    <row r="5" spans="1:13" x14ac:dyDescent="0.25">
      <c r="A5" s="34" t="s">
        <v>57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</row>
    <row r="6" spans="1:13" x14ac:dyDescent="0.25">
      <c r="A6" s="34" t="s">
        <v>58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</row>
    <row r="7" spans="1:13" x14ac:dyDescent="0.25">
      <c r="A7" s="34" t="s">
        <v>59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</row>
    <row r="8" spans="1:13" x14ac:dyDescent="0.25">
      <c r="A8" s="34" t="s">
        <v>60</v>
      </c>
      <c r="B8" s="31">
        <v>0</v>
      </c>
      <c r="C8" s="31">
        <v>0</v>
      </c>
      <c r="D8" s="31">
        <v>0</v>
      </c>
      <c r="E8" s="31">
        <v>0</v>
      </c>
      <c r="F8" s="31">
        <v>150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</row>
    <row r="9" spans="1:13" x14ac:dyDescent="0.25">
      <c r="A9" s="34" t="s">
        <v>61</v>
      </c>
      <c r="B9" s="31">
        <v>0</v>
      </c>
      <c r="C9" s="31">
        <v>0</v>
      </c>
      <c r="D9" s="31">
        <v>0</v>
      </c>
      <c r="E9" s="31">
        <v>0</v>
      </c>
      <c r="F9" s="31">
        <v>150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</row>
    <row r="10" spans="1:13" x14ac:dyDescent="0.25">
      <c r="A10" s="34" t="s">
        <v>62</v>
      </c>
      <c r="B10" s="31">
        <v>0</v>
      </c>
      <c r="C10" s="31">
        <v>0</v>
      </c>
      <c r="D10" s="31">
        <v>150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</row>
    <row r="11" spans="1:13" x14ac:dyDescent="0.25">
      <c r="A11" s="34" t="s">
        <v>63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</row>
    <row r="12" spans="1:13" x14ac:dyDescent="0.25">
      <c r="A12" s="34" t="s">
        <v>64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</row>
    <row r="13" spans="1:13" x14ac:dyDescent="0.25">
      <c r="A13" s="34" t="s">
        <v>65</v>
      </c>
      <c r="B13" s="31">
        <v>0</v>
      </c>
      <c r="C13" s="31">
        <v>0</v>
      </c>
      <c r="D13" s="31">
        <v>150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</row>
    <row r="14" spans="1:13" x14ac:dyDescent="0.25">
      <c r="A14" s="34" t="s">
        <v>66</v>
      </c>
      <c r="B14" s="31">
        <v>0</v>
      </c>
      <c r="C14" s="31">
        <v>0</v>
      </c>
      <c r="D14" s="31">
        <v>150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</row>
    <row r="15" spans="1:13" x14ac:dyDescent="0.25">
      <c r="A15" s="34" t="s">
        <v>67</v>
      </c>
      <c r="B15" s="31">
        <v>0</v>
      </c>
      <c r="C15" s="31">
        <v>0</v>
      </c>
      <c r="D15" s="31">
        <v>150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</row>
    <row r="16" spans="1:13" x14ac:dyDescent="0.25">
      <c r="A16" s="34" t="s">
        <v>70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</row>
    <row r="17" spans="1:13" x14ac:dyDescent="0.25">
      <c r="A17" s="34" t="s">
        <v>72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</row>
    <row r="18" spans="1:13" x14ac:dyDescent="0.25">
      <c r="A18" s="34" t="s">
        <v>71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</row>
    <row r="19" spans="1:13" x14ac:dyDescent="0.25">
      <c r="A19" s="34" t="s">
        <v>92</v>
      </c>
      <c r="B19" s="8">
        <v>450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</row>
    <row r="20" spans="1:13" x14ac:dyDescent="0.25">
      <c r="A20" s="34"/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</row>
    <row r="21" spans="1:13" x14ac:dyDescent="0.25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7"/>
    </row>
    <row r="22" spans="1:13" x14ac:dyDescent="0.25">
      <c r="A22" s="35" t="s">
        <v>15</v>
      </c>
      <c r="B22" s="8">
        <v>450</v>
      </c>
      <c r="C22" s="31">
        <v>0</v>
      </c>
      <c r="D22" s="31">
        <f>SUM(D3:D20)</f>
        <v>600</v>
      </c>
      <c r="E22" s="31">
        <v>0</v>
      </c>
      <c r="F22" s="11">
        <f>SUM(F3,F4,F5,F6,F7,F8,F9,F10,F11,F12,F13,F14,F15,F16)</f>
        <v>450</v>
      </c>
      <c r="G22" s="11">
        <f>SUM(G3,G4,G5,G6,G7,G8,G9,G10,G11,G12,G13,G14,G15,G16,G17,G18)</f>
        <v>0</v>
      </c>
      <c r="H22" s="11">
        <f>SUM(H3,H4,H5,H6,H7,H8,H9,H10,H11,H12,H13,H14,H15,H16,H17,H18)</f>
        <v>0</v>
      </c>
      <c r="I22" s="11">
        <f t="shared" ref="I22:M22" si="0">SUM(I3,I4,I5,I6,I7,I8,I9,I10,I11,I12,I13,I14,I15,I16,I17,I18)</f>
        <v>0</v>
      </c>
      <c r="J22" s="11">
        <v>0</v>
      </c>
      <c r="K22" s="11">
        <f t="shared" si="0"/>
        <v>0</v>
      </c>
      <c r="L22" s="11">
        <f t="shared" si="0"/>
        <v>0</v>
      </c>
      <c r="M22" s="11">
        <f t="shared" si="0"/>
        <v>0</v>
      </c>
    </row>
    <row r="23" spans="1:13" x14ac:dyDescent="0.25">
      <c r="A23" s="37" t="s">
        <v>13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r="24" spans="1:13" x14ac:dyDescent="0.25">
      <c r="A24" s="35" t="s">
        <v>14</v>
      </c>
      <c r="B24" s="8">
        <v>450</v>
      </c>
      <c r="C24" s="31">
        <v>0</v>
      </c>
      <c r="D24" s="31">
        <v>600</v>
      </c>
      <c r="E24" s="31">
        <v>0</v>
      </c>
      <c r="F24" s="8">
        <f>F22-F23</f>
        <v>450</v>
      </c>
      <c r="G24" s="8">
        <f t="shared" ref="G24:M24" si="1">G22-G23</f>
        <v>0</v>
      </c>
      <c r="H24" s="8">
        <f t="shared" si="1"/>
        <v>0</v>
      </c>
      <c r="I24" s="8">
        <f t="shared" si="1"/>
        <v>0</v>
      </c>
      <c r="J24" s="8">
        <f t="shared" si="1"/>
        <v>0</v>
      </c>
      <c r="K24" s="8">
        <f t="shared" si="1"/>
        <v>0</v>
      </c>
      <c r="L24" s="8">
        <f t="shared" si="1"/>
        <v>0</v>
      </c>
      <c r="M24" s="8">
        <f t="shared" si="1"/>
        <v>0</v>
      </c>
    </row>
    <row r="25" spans="1:13" ht="25.5" customHeight="1" x14ac:dyDescent="0.25">
      <c r="A25" s="52" t="s">
        <v>98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38">
        <f>SUM(B24:M24)</f>
        <v>1500</v>
      </c>
    </row>
  </sheetData>
  <mergeCells count="3">
    <mergeCell ref="A21:M21"/>
    <mergeCell ref="A2:M2"/>
    <mergeCell ref="A25:L2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8FEE-7ED2-47AA-85F6-BF9807F7FBB0}">
  <dimension ref="A1:M17"/>
  <sheetViews>
    <sheetView workbookViewId="0">
      <pane xSplit="1" topLeftCell="B1" activePane="topRight" state="frozen"/>
      <selection pane="topRight" activeCell="M17" sqref="M17"/>
    </sheetView>
  </sheetViews>
  <sheetFormatPr defaultRowHeight="15" x14ac:dyDescent="0.25"/>
  <cols>
    <col min="1" max="1" width="34" customWidth="1"/>
    <col min="2" max="2" width="11.85546875" customWidth="1"/>
    <col min="3" max="3" width="13.140625" customWidth="1"/>
    <col min="4" max="4" width="13.28515625" customWidth="1"/>
    <col min="5" max="5" width="12.7109375" customWidth="1"/>
    <col min="6" max="6" width="12.28515625" customWidth="1"/>
    <col min="7" max="7" width="11" customWidth="1"/>
    <col min="8" max="8" width="10.5703125" customWidth="1"/>
    <col min="9" max="9" width="11.42578125" customWidth="1"/>
    <col min="10" max="10" width="10.28515625" customWidth="1"/>
    <col min="11" max="11" width="11.7109375" customWidth="1"/>
    <col min="12" max="12" width="11.5703125" customWidth="1"/>
    <col min="13" max="13" width="11.85546875" customWidth="1"/>
  </cols>
  <sheetData>
    <row r="1" spans="1:13" x14ac:dyDescent="0.25">
      <c r="A1" s="5" t="s">
        <v>91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0</v>
      </c>
      <c r="J1" s="6" t="s">
        <v>1</v>
      </c>
      <c r="K1" s="6" t="s">
        <v>2</v>
      </c>
      <c r="L1" s="6" t="s">
        <v>5</v>
      </c>
      <c r="M1" s="6" t="s">
        <v>3</v>
      </c>
    </row>
    <row r="2" spans="1:13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x14ac:dyDescent="0.25">
      <c r="A3" s="32" t="s">
        <v>78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32" t="s">
        <v>49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5">
      <c r="A5" s="32" t="s">
        <v>50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ht="15" customHeight="1" x14ac:dyDescent="0.25">
      <c r="A6" s="32" t="s">
        <v>51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ht="15" customHeight="1" x14ac:dyDescent="0.25">
      <c r="A7" s="32" t="s">
        <v>54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5">
      <c r="A8" s="32" t="s">
        <v>68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ht="15" customHeight="1" x14ac:dyDescent="0.25">
      <c r="A9" s="32" t="s">
        <v>69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ht="15" customHeight="1" x14ac:dyDescent="0.25">
      <c r="A10" s="32" t="s">
        <v>33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ht="15" customHeight="1" x14ac:dyDescent="0.25">
      <c r="A11" s="32" t="s">
        <v>86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ht="15" customHeight="1" x14ac:dyDescent="0.25">
      <c r="A12" s="32"/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8"/>
    </row>
    <row r="14" spans="1:13" x14ac:dyDescent="0.25">
      <c r="A14" s="35" t="s">
        <v>15</v>
      </c>
      <c r="B14" s="8">
        <v>0</v>
      </c>
      <c r="C14" s="8">
        <f>SUM(C3,C4,C5,C6,C7,C8,C9,C10,C11)</f>
        <v>0</v>
      </c>
      <c r="D14" s="8">
        <f t="shared" ref="D14:M14" si="0">SUM(D3,D4,D5,D6,D7,D8,D9,D10,D11)</f>
        <v>0</v>
      </c>
      <c r="E14" s="8">
        <f t="shared" si="0"/>
        <v>0</v>
      </c>
      <c r="F14" s="8">
        <f t="shared" si="0"/>
        <v>0</v>
      </c>
      <c r="G14" s="8">
        <f t="shared" si="0"/>
        <v>0</v>
      </c>
      <c r="H14" s="8">
        <f t="shared" si="0"/>
        <v>0</v>
      </c>
      <c r="I14" s="8">
        <f t="shared" si="0"/>
        <v>0</v>
      </c>
      <c r="J14" s="8">
        <f t="shared" si="0"/>
        <v>0</v>
      </c>
      <c r="K14" s="8">
        <f t="shared" si="0"/>
        <v>0</v>
      </c>
      <c r="L14" s="8">
        <f t="shared" si="0"/>
        <v>0</v>
      </c>
      <c r="M14" s="8">
        <f t="shared" si="0"/>
        <v>0</v>
      </c>
    </row>
    <row r="15" spans="1:13" x14ac:dyDescent="0.25">
      <c r="A15" s="37" t="s">
        <v>13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r="16" spans="1:13" x14ac:dyDescent="0.25">
      <c r="A16" s="35" t="s">
        <v>14</v>
      </c>
      <c r="B16" s="8">
        <v>0</v>
      </c>
      <c r="C16" s="8">
        <f>C14-C15</f>
        <v>0</v>
      </c>
      <c r="D16" s="8">
        <f t="shared" ref="D16:M16" si="1">D14-D15</f>
        <v>0</v>
      </c>
      <c r="E16" s="8">
        <f t="shared" si="1"/>
        <v>0</v>
      </c>
      <c r="F16" s="8">
        <f t="shared" si="1"/>
        <v>0</v>
      </c>
      <c r="G16" s="8">
        <f t="shared" si="1"/>
        <v>0</v>
      </c>
      <c r="H16" s="8">
        <f t="shared" si="1"/>
        <v>0</v>
      </c>
      <c r="I16" s="8">
        <f t="shared" si="1"/>
        <v>0</v>
      </c>
      <c r="J16" s="8">
        <f t="shared" si="1"/>
        <v>0</v>
      </c>
      <c r="K16" s="8">
        <f t="shared" si="1"/>
        <v>0</v>
      </c>
      <c r="L16" s="8">
        <f t="shared" si="1"/>
        <v>0</v>
      </c>
      <c r="M16" s="8">
        <f t="shared" si="1"/>
        <v>0</v>
      </c>
    </row>
    <row r="17" spans="1:13" ht="25.5" customHeight="1" x14ac:dyDescent="0.25">
      <c r="A17" s="52" t="s">
        <v>98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  <c r="M17" s="38">
        <f>SUM(B16:M16)</f>
        <v>0</v>
      </c>
    </row>
  </sheetData>
  <mergeCells count="3">
    <mergeCell ref="A2:M2"/>
    <mergeCell ref="A13:M13"/>
    <mergeCell ref="A17:L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225-7D82-4DAD-8CD8-AF37BC93466B}">
  <dimension ref="A1:M21"/>
  <sheetViews>
    <sheetView workbookViewId="0">
      <pane xSplit="1" topLeftCell="B1" activePane="topRight" state="frozen"/>
      <selection pane="topRight" activeCell="G14" sqref="G14"/>
    </sheetView>
  </sheetViews>
  <sheetFormatPr defaultRowHeight="15" x14ac:dyDescent="0.25"/>
  <cols>
    <col min="1" max="1" width="35" customWidth="1"/>
    <col min="2" max="2" width="15.7109375" customWidth="1"/>
    <col min="3" max="3" width="11.7109375" customWidth="1"/>
    <col min="4" max="4" width="11.5703125" customWidth="1"/>
    <col min="5" max="5" width="11.85546875" customWidth="1"/>
    <col min="6" max="6" width="13" customWidth="1"/>
    <col min="7" max="7" width="11.7109375" customWidth="1"/>
    <col min="8" max="8" width="10.42578125" customWidth="1"/>
    <col min="9" max="9" width="10.5703125" bestFit="1" customWidth="1"/>
    <col min="10" max="10" width="14" bestFit="1" customWidth="1"/>
    <col min="11" max="11" width="11.42578125" customWidth="1"/>
    <col min="12" max="12" width="12.42578125" customWidth="1"/>
    <col min="13" max="13" width="13.42578125" customWidth="1"/>
  </cols>
  <sheetData>
    <row r="1" spans="1:13" x14ac:dyDescent="0.25">
      <c r="A1" s="5" t="s">
        <v>91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0</v>
      </c>
      <c r="J1" s="6" t="s">
        <v>1</v>
      </c>
      <c r="K1" s="6" t="s">
        <v>2</v>
      </c>
      <c r="L1" s="6" t="s">
        <v>5</v>
      </c>
      <c r="M1" s="6" t="s">
        <v>3</v>
      </c>
    </row>
    <row r="2" spans="1:13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x14ac:dyDescent="0.25">
      <c r="A3" s="32" t="s">
        <v>95</v>
      </c>
      <c r="B3" s="8">
        <v>50</v>
      </c>
      <c r="C3" s="8">
        <v>50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32" t="s">
        <v>94</v>
      </c>
      <c r="B4" s="8">
        <v>50</v>
      </c>
      <c r="C4" s="8">
        <v>50</v>
      </c>
      <c r="D4" s="8">
        <v>0</v>
      </c>
      <c r="E4" s="8">
        <v>200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5">
      <c r="A5" s="32" t="s">
        <v>44</v>
      </c>
      <c r="B5" s="8">
        <v>50</v>
      </c>
      <c r="C5" s="8">
        <v>0</v>
      </c>
      <c r="D5" s="8">
        <v>100</v>
      </c>
      <c r="E5" s="8">
        <v>0</v>
      </c>
      <c r="F5" s="8">
        <v>100</v>
      </c>
      <c r="G5" s="8">
        <v>100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5">
      <c r="A6" s="32" t="s">
        <v>45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5">
      <c r="A7" s="32" t="s">
        <v>46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5">
      <c r="A8" s="32" t="s">
        <v>47</v>
      </c>
      <c r="B8" s="8">
        <v>100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5">
      <c r="A9" s="32" t="s">
        <v>48</v>
      </c>
      <c r="B9" s="8">
        <v>50</v>
      </c>
      <c r="C9" s="8">
        <v>0</v>
      </c>
      <c r="D9" s="8">
        <v>0</v>
      </c>
      <c r="E9" s="8">
        <v>100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5">
      <c r="A10" s="32" t="s">
        <v>53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5">
      <c r="A11" s="32" t="s">
        <v>80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5">
      <c r="A12" s="32" t="s">
        <v>93</v>
      </c>
      <c r="B12" s="8">
        <v>90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5">
      <c r="A13" s="32" t="s">
        <v>83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5">
      <c r="A14" s="33" t="s">
        <v>97</v>
      </c>
      <c r="B14" s="8">
        <v>0</v>
      </c>
      <c r="C14" s="8">
        <v>50</v>
      </c>
      <c r="D14" s="8">
        <v>0</v>
      </c>
      <c r="E14" s="8">
        <v>0</v>
      </c>
      <c r="F14" s="8">
        <v>100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5">
      <c r="A15" s="32"/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</row>
    <row r="17" spans="1:13" x14ac:dyDescent="0.25">
      <c r="A17" s="35" t="s">
        <v>15</v>
      </c>
      <c r="B17" s="8">
        <f>SUM(B3:B16)</f>
        <v>390</v>
      </c>
      <c r="C17" s="8">
        <f>SUM(C3:C15)</f>
        <v>150</v>
      </c>
      <c r="D17" s="8">
        <f t="shared" ref="D17:H17" si="0">SUM(D3,D4,D5,D6,D7,D8,D9,D10,D12)</f>
        <v>100</v>
      </c>
      <c r="E17" s="8">
        <f t="shared" si="0"/>
        <v>300</v>
      </c>
      <c r="F17" s="8">
        <f>SUM(F3:F15)</f>
        <v>200</v>
      </c>
      <c r="G17" s="8">
        <f t="shared" si="0"/>
        <v>100</v>
      </c>
      <c r="H17" s="8">
        <f t="shared" si="0"/>
        <v>0</v>
      </c>
      <c r="I17" s="8">
        <f>SUM(I3,I4,I5,I6,I7,I8,I9,I10,I12,I11)</f>
        <v>0</v>
      </c>
      <c r="J17" s="8">
        <v>0</v>
      </c>
      <c r="K17" s="8">
        <f t="shared" ref="K17:M17" si="1">SUM(K3,K4,K5,K6,K7,K8,K9,K10,K12,K11,K13)</f>
        <v>0</v>
      </c>
      <c r="L17" s="8">
        <f t="shared" si="1"/>
        <v>0</v>
      </c>
      <c r="M17" s="8">
        <f t="shared" si="1"/>
        <v>0</v>
      </c>
    </row>
    <row r="18" spans="1:13" x14ac:dyDescent="0.25">
      <c r="A18" s="37" t="s">
        <v>13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r="19" spans="1:13" x14ac:dyDescent="0.25">
      <c r="A19" s="35" t="s">
        <v>14</v>
      </c>
      <c r="B19" s="8">
        <f>SUM(B17-B18)</f>
        <v>390</v>
      </c>
      <c r="C19" s="8">
        <f t="shared" ref="C19:M19" si="2">C17-C18</f>
        <v>150</v>
      </c>
      <c r="D19" s="8">
        <f t="shared" si="2"/>
        <v>100</v>
      </c>
      <c r="E19" s="8">
        <f t="shared" si="2"/>
        <v>300</v>
      </c>
      <c r="F19" s="8">
        <f t="shared" si="2"/>
        <v>200</v>
      </c>
      <c r="G19" s="8">
        <f t="shared" si="2"/>
        <v>100</v>
      </c>
      <c r="H19" s="8">
        <f t="shared" si="2"/>
        <v>0</v>
      </c>
      <c r="I19" s="8">
        <f t="shared" si="2"/>
        <v>0</v>
      </c>
      <c r="J19" s="8">
        <f t="shared" si="2"/>
        <v>0</v>
      </c>
      <c r="K19" s="8">
        <f t="shared" si="2"/>
        <v>0</v>
      </c>
      <c r="L19" s="8">
        <f t="shared" si="2"/>
        <v>0</v>
      </c>
      <c r="M19" s="8">
        <f t="shared" si="2"/>
        <v>0</v>
      </c>
    </row>
    <row r="20" spans="1:13" ht="25.5" customHeight="1" x14ac:dyDescent="0.25">
      <c r="A20" s="52" t="s">
        <v>98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4"/>
      <c r="M20" s="38">
        <f>SUM(B19:M19)</f>
        <v>1240</v>
      </c>
    </row>
    <row r="21" spans="1:13" x14ac:dyDescent="0.25">
      <c r="A21" s="51"/>
      <c r="B21" s="51"/>
      <c r="C21" s="51"/>
    </row>
  </sheetData>
  <mergeCells count="4">
    <mergeCell ref="A21:C21"/>
    <mergeCell ref="A2:M2"/>
    <mergeCell ref="A16:M16"/>
    <mergeCell ref="A20:L20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B808-F295-47AF-9304-505651EDDD17}">
  <dimension ref="A1:M19"/>
  <sheetViews>
    <sheetView workbookViewId="0">
      <pane xSplit="1" topLeftCell="B1" activePane="topRight" state="frozen"/>
      <selection pane="topRight" activeCell="N12" sqref="N12"/>
    </sheetView>
  </sheetViews>
  <sheetFormatPr defaultRowHeight="15" x14ac:dyDescent="0.25"/>
  <cols>
    <col min="1" max="1" width="32.42578125" bestFit="1" customWidth="1"/>
    <col min="2" max="2" width="13.7109375" customWidth="1"/>
    <col min="3" max="3" width="15.140625" customWidth="1"/>
    <col min="4" max="4" width="11" customWidth="1"/>
    <col min="5" max="5" width="11.42578125" customWidth="1"/>
    <col min="6" max="6" width="13" customWidth="1"/>
    <col min="7" max="7" width="10.7109375" customWidth="1"/>
    <col min="8" max="8" width="11.42578125" customWidth="1"/>
    <col min="9" max="10" width="11" style="2" customWidth="1"/>
    <col min="11" max="11" width="10" style="2" customWidth="1"/>
    <col min="12" max="12" width="12.85546875" style="2" customWidth="1"/>
    <col min="13" max="13" width="12.28515625" style="2" bestFit="1" customWidth="1"/>
  </cols>
  <sheetData>
    <row r="1" spans="1:13" x14ac:dyDescent="0.25">
      <c r="A1" s="5" t="s">
        <v>91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29" t="s">
        <v>0</v>
      </c>
      <c r="J1" s="29" t="s">
        <v>1</v>
      </c>
      <c r="K1" s="29" t="s">
        <v>2</v>
      </c>
      <c r="L1" s="29" t="s">
        <v>5</v>
      </c>
      <c r="M1" s="29" t="s">
        <v>3</v>
      </c>
    </row>
    <row r="2" spans="1:13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x14ac:dyDescent="0.25">
      <c r="A3" s="32" t="s">
        <v>29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11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5">
      <c r="A4" s="32" t="s">
        <v>42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11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5">
      <c r="A5" s="32" t="s">
        <v>43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11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5">
      <c r="A6" s="32" t="s">
        <v>74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11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5">
      <c r="A7" s="32" t="s">
        <v>75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11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5">
      <c r="A8" s="32" t="s">
        <v>76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11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5">
      <c r="A9" s="32" t="s">
        <v>81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11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5">
      <c r="A10" s="32" t="s">
        <v>102</v>
      </c>
      <c r="B10" s="8">
        <v>0</v>
      </c>
      <c r="C10" s="8">
        <v>0</v>
      </c>
      <c r="D10" s="8">
        <v>150</v>
      </c>
      <c r="E10" s="8">
        <v>0</v>
      </c>
      <c r="F10" s="8">
        <v>0</v>
      </c>
      <c r="G10" s="8">
        <v>0</v>
      </c>
      <c r="H10" s="8">
        <v>0</v>
      </c>
      <c r="I10" s="11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5">
      <c r="A11" s="32" t="s">
        <v>84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11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5">
      <c r="A12" s="32" t="s">
        <v>88</v>
      </c>
      <c r="B12" s="8">
        <v>140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11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5">
      <c r="A13" s="32" t="s">
        <v>101</v>
      </c>
      <c r="B13" s="8">
        <v>0</v>
      </c>
      <c r="C13" s="8">
        <v>0</v>
      </c>
      <c r="D13" s="8">
        <v>190</v>
      </c>
      <c r="E13" s="8">
        <v>0</v>
      </c>
      <c r="F13" s="8">
        <v>0</v>
      </c>
      <c r="G13" s="8">
        <v>0</v>
      </c>
      <c r="H13" s="8">
        <v>0</v>
      </c>
      <c r="I13" s="11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5">
      <c r="A14" s="32" t="s">
        <v>100</v>
      </c>
      <c r="B14" s="8">
        <v>0</v>
      </c>
      <c r="C14" s="8">
        <v>0</v>
      </c>
      <c r="D14" s="8">
        <v>150</v>
      </c>
      <c r="E14" s="8">
        <v>200</v>
      </c>
      <c r="F14" s="8">
        <v>0</v>
      </c>
      <c r="G14" s="8">
        <v>0</v>
      </c>
      <c r="H14" s="8">
        <v>0</v>
      </c>
      <c r="I14" s="11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</row>
    <row r="16" spans="1:13" x14ac:dyDescent="0.25">
      <c r="A16" s="35" t="s">
        <v>15</v>
      </c>
      <c r="B16" s="8">
        <f>SUM(B3:B15)</f>
        <v>140</v>
      </c>
      <c r="C16" s="8">
        <f>SUM(C3:C11)</f>
        <v>0</v>
      </c>
      <c r="D16" s="8">
        <f>SUM(D3:D14)</f>
        <v>490</v>
      </c>
      <c r="E16" s="8">
        <f>SUM(E3:E14)</f>
        <v>200</v>
      </c>
      <c r="F16" s="8">
        <f t="shared" ref="F16:M16" si="0">SUM(F3:F11)</f>
        <v>0</v>
      </c>
      <c r="G16" s="8">
        <f t="shared" si="0"/>
        <v>0</v>
      </c>
      <c r="H16" s="8">
        <f t="shared" si="0"/>
        <v>0</v>
      </c>
      <c r="I16" s="8">
        <f t="shared" si="0"/>
        <v>0</v>
      </c>
      <c r="J16" s="8">
        <f t="shared" si="0"/>
        <v>0</v>
      </c>
      <c r="K16" s="8">
        <f t="shared" si="0"/>
        <v>0</v>
      </c>
      <c r="L16" s="8">
        <f t="shared" si="0"/>
        <v>0</v>
      </c>
      <c r="M16" s="8">
        <f t="shared" si="0"/>
        <v>0</v>
      </c>
    </row>
    <row r="17" spans="1:13" x14ac:dyDescent="0.25">
      <c r="A17" s="37" t="s">
        <v>13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r="18" spans="1:13" x14ac:dyDescent="0.25">
      <c r="A18" s="35" t="s">
        <v>14</v>
      </c>
      <c r="B18" s="8">
        <f>B16-B17</f>
        <v>140</v>
      </c>
      <c r="C18" s="8">
        <f t="shared" ref="C18:M18" si="1">C16-C17</f>
        <v>0</v>
      </c>
      <c r="D18" s="8">
        <f t="shared" si="1"/>
        <v>490</v>
      </c>
      <c r="E18" s="8">
        <f t="shared" si="1"/>
        <v>200</v>
      </c>
      <c r="F18" s="8">
        <f t="shared" si="1"/>
        <v>0</v>
      </c>
      <c r="G18" s="8">
        <f t="shared" si="1"/>
        <v>0</v>
      </c>
      <c r="H18" s="8">
        <f t="shared" si="1"/>
        <v>0</v>
      </c>
      <c r="I18" s="8">
        <f t="shared" si="1"/>
        <v>0</v>
      </c>
      <c r="J18" s="8">
        <f t="shared" si="1"/>
        <v>0</v>
      </c>
      <c r="K18" s="8">
        <f t="shared" si="1"/>
        <v>0</v>
      </c>
      <c r="L18" s="8">
        <f t="shared" si="1"/>
        <v>0</v>
      </c>
      <c r="M18" s="8">
        <f t="shared" si="1"/>
        <v>0</v>
      </c>
    </row>
    <row r="19" spans="1:13" ht="23.25" customHeight="1" x14ac:dyDescent="0.25">
      <c r="A19" s="52" t="s">
        <v>98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4"/>
      <c r="M19" s="38">
        <f>SUM(B18:M18)</f>
        <v>830</v>
      </c>
    </row>
  </sheetData>
  <mergeCells count="3">
    <mergeCell ref="A2:M2"/>
    <mergeCell ref="A15:M15"/>
    <mergeCell ref="A19:L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RELATÓRIO GERAL</vt:lpstr>
      <vt:lpstr>ENGENHO NOVO</vt:lpstr>
      <vt:lpstr>ARISTON</vt:lpstr>
      <vt:lpstr>SEDE</vt:lpstr>
      <vt:lpstr>OSASCO</vt:lpstr>
      <vt:lpstr>CORRESPONDÊNCIA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Ines</dc:creator>
  <cp:lastModifiedBy>Lucas</cp:lastModifiedBy>
  <cp:lastPrinted>2024-01-31T14:41:30Z</cp:lastPrinted>
  <dcterms:created xsi:type="dcterms:W3CDTF">2021-10-21T15:44:17Z</dcterms:created>
  <dcterms:modified xsi:type="dcterms:W3CDTF">2026-07-28T00:00:34Z</dcterms:modified>
</cp:coreProperties>
</file>